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ced4ab8300845c1" /></Relationships>
</file>

<file path=xl/workbook.xml><?xml version="1.0" encoding="utf-8"?>
<x:workbook xmlns:x="http://schemas.openxmlformats.org/spreadsheetml/2006/main">
  <x:sheets>
    <x:sheet xmlns:r="http://schemas.openxmlformats.org/officeDocument/2006/relationships" name="Read Me" sheetId="1" r:id="R6ba6352614204a96"/>
    <x:sheet xmlns:r="http://schemas.openxmlformats.org/officeDocument/2006/relationships" name="Master Data" sheetId="2" r:id="R50e4d46945d24d91"/>
    <x:sheet xmlns:r="http://schemas.openxmlformats.org/officeDocument/2006/relationships" name="Source Register" sheetId="3" r:id="Rb141a9ee2d2c40c9"/>
    <x:sheet xmlns:r="http://schemas.openxmlformats.org/officeDocument/2006/relationships" name="Data Quality" sheetId="4" r:id="Ra58ceed14d584eec"/>
    <x:sheet xmlns:r="http://schemas.openxmlformats.org/officeDocument/2006/relationships" name="External Benchmarks" sheetId="5" r:id="Rd2aded9a50434ac2"/>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
  </x:numFmts>
  <x:fonts count="10">
    <x:font>
      <x:sz val="11"/>
      <x:name val="Carlito"/>
    </x:font>
    <x:font>
      <x:b/>
      <x:sz val="16"/>
      <x:color rgb="FFFFFFFF"/>
      <x:name val="Carlito"/>
    </x:font>
    <x:font>
      <x:b/>
      <x:sz val="11"/>
      <x:color rgb="FF12304A"/>
      <x:name val="Carlito"/>
    </x:font>
    <x:font>
      <x:b/>
      <x:sz val="11"/>
      <x:color rgb="FFFFFFFF"/>
      <x:name val="Carlito"/>
    </x:font>
    <x:font>
      <x:sz val="11"/>
      <x:color rgb="FF7C2D12"/>
      <x:name val="Carlito"/>
    </x:font>
    <x:font>
      <x:b/>
      <x:sz val="11"/>
      <x:name val="Carlito"/>
    </x:font>
    <x:font>
      <x:b/>
      <x:sz val="15"/>
      <x:color rgb="FFFFFFFF"/>
      <x:name val="Carlito"/>
    </x:font>
    <x:font>
      <x:i/>
      <x:sz val="11"/>
      <x:color rgb="FF12304A"/>
      <x:name val="Carlito"/>
    </x:font>
    <x:font>
      <x:b/>
      <x:sz val="14"/>
      <x:color rgb="FFFFFFFF"/>
      <x:name val="Carlito"/>
    </x:font>
    <x:font>
      <x:i/>
      <x:sz val="11"/>
      <x:color rgb="FF7C2D12"/>
      <x:name val="Carlito"/>
    </x:font>
  </x:fonts>
  <x:fills count="8">
    <x:fill>
      <x:patternFill patternType="none"/>
    </x:fill>
    <x:fill>
      <x:patternFill patternType="gray125"/>
    </x:fill>
    <x:fill>
      <x:patternFill patternType="solid">
        <x:fgColor rgb="FF12304A"/>
      </x:patternFill>
    </x:fill>
    <x:fill>
      <x:patternFill patternType="solid">
        <x:fgColor rgb="FFDCEAF5"/>
      </x:patternFill>
    </x:fill>
    <x:fill>
      <x:patternFill patternType="solid">
        <x:fgColor rgb="FF167D8D"/>
      </x:patternFill>
    </x:fill>
    <x:fill>
      <x:patternFill patternType="solid">
        <x:fgColor rgb="FFE8F3F5"/>
      </x:patternFill>
    </x:fill>
    <x:fill>
      <x:patternFill patternType="solid">
        <x:fgColor rgb="FFB45309"/>
      </x:patternFill>
    </x:fill>
    <x:fill>
      <x:patternFill patternType="solid">
        <x:fgColor rgb="FFFFF4E5"/>
      </x:patternFill>
    </x:fill>
  </x:fills>
  <x:borders count="2">
    <x:border/>
    <x:border/>
  </x:borders>
  <x:cellStyleXfs count="1">
    <x:xf numFmtId="0" fontId="0" fillId="0" borderId="0"/>
  </x:cellStyleXfs>
  <x:cellXfs count="7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vertical="center"/>
    </x:xf>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horizontal="center"/>
    </x:xf>
    <x:xf numFmtId="0" fontId="2" fillId="5" borderId="0" xfId="0" applyNumberFormat="1" applyFont="1" applyFill="1" applyBorder="1" applyAlignment="1">
      <x:alignment horizontal="center" vertical="center"/>
    </x:xf>
    <x:xf numFmtId="0" fontId="0" fillId="5" borderId="1" xfId="0" applyNumberFormat="1" applyFont="1" applyFill="1" applyBorder="1"/>
    <x:xf numFmtId="0" fontId="2" fillId="5" borderId="1" xfId="0" applyNumberFormat="1" applyFont="1" applyFill="1" applyBorder="1"/>
    <x:xf numFmtId="0" fontId="2" fillId="5" borderId="1" xfId="0" applyNumberFormat="1" applyFont="1" applyFill="1" applyBorder="1" applyAlignment="1">
      <x:alignment horizontal="center"/>
    </x:xf>
    <x:xf numFmtId="0" fontId="2" fillId="5"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6" borderId="0" xfId="0" applyNumberFormat="1" applyFont="1" applyFill="1" applyBorder="1"/>
    <x:xf numFmtId="0" fontId="3" fillId="6" borderId="0" xfId="0" applyNumberFormat="1" applyFont="1" applyFill="1" applyBorder="1"/>
    <x:xf numFmtId="0" fontId="0" fillId="6" borderId="1" xfId="0" applyNumberFormat="1" applyFont="1" applyFill="1" applyBorder="1"/>
    <x:xf numFmtId="0" fontId="3" fillId="6" borderId="1" xfId="0" applyNumberFormat="1" applyFont="1" applyFill="1" applyBorder="1"/>
    <x:xf numFmtId="0" fontId="0"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wrapText="1"/>
    </x:xf>
    <x:xf numFmtId="0" fontId="4" fillId="7" borderId="0" xfId="0" applyNumberFormat="1" applyFont="1" applyFill="1" applyBorder="1" applyAlignment="1">
      <x:alignment vertical="center" wrapText="1"/>
    </x:xf>
    <x:xf numFmtId="0" fontId="0" fillId="7" borderId="1" xfId="0" applyNumberFormat="1" applyFont="1" applyFill="1" applyBorder="1"/>
    <x:xf numFmtId="0" fontId="4" fillId="7" borderId="1" xfId="0" applyNumberFormat="1" applyFont="1" applyFill="1" applyBorder="1"/>
    <x:xf numFmtId="0" fontId="4" fillId="7" borderId="1" xfId="0" applyNumberFormat="1" applyFont="1" applyFill="1" applyBorder="1" applyAlignment="1">
      <x:alignment wrapText="1"/>
    </x:xf>
    <x:xf numFmtId="0" fontId="4" fillId="7" borderId="1" xfId="0" applyNumberFormat="1" applyFont="1" applyFill="1" applyBorder="1" applyAlignment="1">
      <x:alignment vertical="center" wrapText="1"/>
    </x:xf>
    <x:xf numFmtId="0" fontId="5" fillId="0" borderId="0" xfId="0" applyNumberFormat="1" applyFont="1" applyFill="1" applyBorder="1" applyAlignment="1">
      <x:alignment wrapText="1"/>
    </x:xf>
    <x:xf numFmtId="0" fontId="5" fillId="0" borderId="1" xfId="0" applyNumberFormat="1" applyFont="1" applyFill="1" applyBorder="1" applyAlignment="1">
      <x:alignment wrapText="1"/>
    </x:xf>
    <x:xf numFmtId="0" fontId="6" fillId="2" borderId="0" xfId="0" applyNumberFormat="1" applyFont="1" applyFill="1" applyBorder="1"/>
    <x:xf numFmtId="0" fontId="6" fillId="2" borderId="0" xfId="0" applyNumberFormat="1" applyFont="1" applyFill="1" applyBorder="1" applyAlignment="1">
      <x:alignment vertical="center"/>
    </x:xf>
    <x:xf numFmtId="0" fontId="6" fillId="2" borderId="1" xfId="0" applyNumberFormat="1" applyFont="1" applyFill="1" applyBorder="1"/>
    <x:xf numFmtId="0" fontId="6" fillId="2" borderId="1" xfId="0" applyNumberFormat="1" applyFont="1" applyFill="1" applyBorder="1" applyAlignment="1">
      <x:alignment vertical="center"/>
    </x:xf>
    <x:xf numFmtId="0" fontId="7" fillId="3" borderId="0" xfId="0" applyNumberFormat="1" applyFont="1" applyFill="1" applyBorder="1"/>
    <x:xf numFmtId="0" fontId="7" fillId="3" borderId="0" xfId="0" applyNumberFormat="1" applyFont="1" applyFill="1" applyBorder="1" applyAlignment="1">
      <x:alignment wrapText="1"/>
    </x:xf>
    <x:xf numFmtId="0" fontId="7" fillId="3" borderId="1" xfId="0" applyNumberFormat="1" applyFont="1" applyFill="1" applyBorder="1"/>
    <x:xf numFmtId="0" fontId="7" fillId="3" borderId="1" xfId="0" applyNumberFormat="1" applyFont="1" applyFill="1" applyBorder="1" applyAlignment="1">
      <x:alignment wrapText="1"/>
    </x:xf>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201" fontId="0" fillId="0" borderId="0"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0" fontId="8" fillId="2" borderId="0" xfId="0" applyNumberFormat="1" applyFont="1" applyFill="1" applyBorder="1"/>
    <x:xf numFmtId="0" fontId="8" fillId="2" borderId="0" xfId="0" applyNumberFormat="1" applyFont="1" applyFill="1" applyBorder="1" applyAlignment="1">
      <x:alignment vertical="center"/>
    </x:xf>
    <x:xf numFmtId="0" fontId="8" fillId="2" borderId="1" xfId="0" applyNumberFormat="1" applyFont="1" applyFill="1" applyBorder="1"/>
    <x:xf numFmtId="0" fontId="8" fillId="2" borderId="1" xfId="0" applyNumberFormat="1" applyFont="1" applyFill="1" applyBorder="1" applyAlignment="1">
      <x:alignment vertical="center"/>
    </x:xf>
    <x:xf numFmtId="0" fontId="9" fillId="7" borderId="0" xfId="0" applyNumberFormat="1" applyFont="1" applyFill="1" applyBorder="1"/>
    <x:xf numFmtId="0" fontId="9" fillId="7" borderId="0" xfId="0" applyNumberFormat="1" applyFont="1" applyFill="1" applyBorder="1" applyAlignment="1">
      <x:alignment wrapText="1"/>
    </x:xf>
    <x:xf numFmtId="0" fontId="9" fillId="7" borderId="1" xfId="0" applyNumberFormat="1" applyFont="1" applyFill="1" applyBorder="1"/>
    <x:xf numFmtId="0" fontId="9" fillId="7" borderId="1" xfId="0" applyNumberFormat="1" applyFont="1" applyFill="1" applyBorder="1" applyAlignment="1">
      <x:alignment wrapText="1"/>
    </x:xf>
  </x:cellXfs>
  <x:cellStyles count="1">
    <x:cellStyle name="Normal" xfId="0"/>
  </x:cellStyles>
  <x:dxfs count="4">
    <x:dxf>
      <x:font>
        <x:color rgb="FF92400E"/>
      </x:font>
      <x:fill>
        <x:patternFill patternType="solid">
          <x:bgColor rgb="FFFDE68A"/>
        </x:patternFill>
      </x:fill>
    </x:dxf>
    <x:dxf>
      <x:font>
        <x:color rgb="FF991B1B"/>
      </x:font>
      <x:fill>
        <x:patternFill patternType="solid">
          <x:bgColor rgb="FFFEE2E2"/>
        </x:patternFill>
      </x:fill>
    </x:dxf>
    <x:dxf>
      <x:font>
        <x:color rgb="FF92400E"/>
      </x:font>
      <x:fill>
        <x:patternFill patternType="solid">
          <x:bgColor rgb="FFFDE68A"/>
        </x:patternFill>
      </x:fill>
    </x:dxf>
    <x:dxf>
      <x:font>
        <x:color rgb="FF374151"/>
      </x:font>
      <x:fill>
        <x:patternFill patternType="solid">
          <x:bgColor rgb="FFE5E7EB"/>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e56bb4fb23541a2" /><Relationship Type="http://schemas.openxmlformats.org/officeDocument/2006/relationships/theme" Target="/xl/theme/theme1.xml" Id="R3ccd00dcffdd4b3f" /><Relationship Type="http://schemas.openxmlformats.org/officeDocument/2006/relationships/sharedStrings" Target="/xl/sharedStrings.xml" Id="Reaae2221795f42d5" /><Relationship Type="http://schemas.openxmlformats.org/officeDocument/2006/relationships/worksheet" Target="/xl/worksheets/sheet1.xml" Id="R6ba6352614204a96" /><Relationship Type="http://schemas.openxmlformats.org/officeDocument/2006/relationships/worksheet" Target="/xl/worksheets/sheet2.xml" Id="R50e4d46945d24d91" /><Relationship Type="http://schemas.openxmlformats.org/officeDocument/2006/relationships/worksheet" Target="/xl/worksheets/sheet3.xml" Id="Rb141a9ee2d2c40c9" /><Relationship Type="http://schemas.openxmlformats.org/officeDocument/2006/relationships/worksheet" Target="/xl/worksheets/sheet4.xml" Id="Ra58ceed14d584eec" /><Relationship Type="http://schemas.openxmlformats.org/officeDocument/2006/relationships/worksheet" Target="/xl/worksheets/sheet5.xml" Id="Rd2aded9a50434ac2" /></Relationships>
</file>

<file path=xl/tables/table1.xml><?xml version="1.0" encoding="utf-8"?>
<x:table xmlns:x="http://schemas.openxmlformats.org/spreadsheetml/2006/main" id="1" name="MasterEwasteData" displayName="MasterEwasteData" ref="A4:P13" headerRowCount="1" totalsRowCount="0" totalsRowShown="0">
  <x:tableColumns count="16">
    <x:tableColumn id="1" name="Record ID"/>
    <x:tableColumn id="2" name="Financial Year"/>
    <x:tableColumn id="3" name="Period Basis"/>
    <x:tableColumn id="4" name="Geography"/>
    <x:tableColumn id="5" name="Metric"/>
    <x:tableColumn id="6" name="Value (tonnes)"/>
    <x:tableColumn id="7" name="Value (kt)"/>
    <x:tableColumn id="8" name="Data Status"/>
    <x:tableColumn id="9" name="Data Type"/>
    <x:tableColumn id="10" name="Reporting Framework"/>
    <x:tableColumn id="11" name="Comparability Group"/>
    <x:tableColumn id="12" name="Source ID"/>
    <x:tableColumn id="13" name="Source URL"/>
    <x:tableColumn id="14" name="Publication Date"/>
    <x:tableColumn id="15" name="Model-Use Guidance"/>
    <x:tableColumn id="16" name="Notes / Next Action"/>
  </x:tableColumns>
  <x:tableStyleInfo name="TableStyleMedium2" showFirstColumn="0" showLastColumn="0" showRowStripes="1" showColumnStripes="0"/>
</x:table>
</file>

<file path=xl/tables/table2.xml><?xml version="1.0" encoding="utf-8"?>
<x:table xmlns:x="http://schemas.openxmlformats.org/spreadsheetml/2006/main" id="2" name="SourceRegister" displayName="SourceRegister" ref="A3:G11" headerRowCount="1" totalsRowCount="0" totalsRowShown="0">
  <x:tableColumns count="7">
    <x:tableColumn id="1" name="Source ID"/>
    <x:tableColumn id="2" name="Source / Publication"/>
    <x:tableColumn id="3" name="Source type"/>
    <x:tableColumn id="4" name="What it provides"/>
    <x:tableColumn id="5" name="How to use"/>
    <x:tableColumn id="6" name="Limitation / validation required"/>
    <x:tableColumn id="7" name="Direct URL"/>
  </x:tableColumns>
  <x:tableStyleInfo name="TableStyleMedium2" showFirstColumn="0" showLastColumn="0" showRowStripes="1" showColumnStripes="0"/>
</x:table>
</file>

<file path=xl/tables/table3.xml><?xml version="1.0" encoding="utf-8"?>
<x:table xmlns:x="http://schemas.openxmlformats.org/spreadsheetml/2006/main" id="3" name="DataQualityChecklist" displayName="DataQualityChecklist" ref="A3:F12" headerRowCount="1" totalsRowCount="0" totalsRowShown="0">
  <x:tableColumns count="6">
    <x:tableColumn id="1" name="ID"/>
    <x:tableColumn id="2" name="Check"/>
    <x:tableColumn id="3" name="Initial status"/>
    <x:tableColumn id="4" name="Evidence / notes"/>
    <x:tableColumn id="5" name="Action required"/>
    <x:tableColumn id="6" name="Owner / status"/>
  </x:tableColumns>
  <x:tableStyleInfo name="TableStyleMedium2" showFirstColumn="0" showLastColumn="0" showRowStripes="1" showColumnStripes="0"/>
</x:table>
</file>

<file path=xl/tables/table4.xml><?xml version="1.0" encoding="utf-8"?>
<x:table xmlns:x="http://schemas.openxmlformats.org/spreadsheetml/2006/main" id="4" name="ExternalBenchmarks" displayName="ExternalBenchmarks" ref="A4:J8" headerRowCount="1" totalsRowCount="0" totalsRowShown="0">
  <x:tableColumns count="10">
    <x:tableColumn id="1" name="Benchmark ID"/>
    <x:tableColumn id="2" name="Year"/>
    <x:tableColumn id="3" name="Period Basis"/>
    <x:tableColumn id="4" name="Geography"/>
    <x:tableColumn id="5" name="Metric"/>
    <x:tableColumn id="6" name="Value (tonnes)"/>
    <x:tableColumn id="7" name="Value (kt)"/>
    <x:tableColumn id="8" name="Data Type"/>
    <x:tableColumn id="9" name="Source ID"/>
    <x:tableColumn id="10" name="Source URL / 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1c6514c895844d4" /></Relationships>
</file>

<file path=xl/worksheets/_rels/sheet3.xml.rels>&#65279;<?xml version="1.0" encoding="utf-8"?><Relationships xmlns="http://schemas.openxmlformats.org/package/2006/relationships"><Relationship Type="http://schemas.openxmlformats.org/officeDocument/2006/relationships/table" Target="/xl/tables/table2.xml" Id="R41813d8123ee4837" /></Relationships>
</file>

<file path=xl/worksheets/_rels/sheet4.xml.rels>&#65279;<?xml version="1.0" encoding="utf-8"?><Relationships xmlns="http://schemas.openxmlformats.org/package/2006/relationships"><Relationship Type="http://schemas.openxmlformats.org/officeDocument/2006/relationships/table" Target="/xl/tables/table3.xml" Id="R5e24d9eee2cd4186" /></Relationships>
</file>

<file path=xl/worksheets/_rels/sheet5.xml.rels>&#65279;<?xml version="1.0" encoding="utf-8"?><Relationships xmlns="http://schemas.openxmlformats.org/package/2006/relationships"><Relationship Type="http://schemas.openxmlformats.org/officeDocument/2006/relationships/table" Target="/xl/tables/table4.xml" Id="Ref2de1b434564668" /></Relationships>
</file>

<file path=xl/worksheets/sheet1.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19" hidden="0" customWidth="1"/>
    <x:col min="2" max="2" width="105"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s>
  <x:sheetData>
    <x:row r="1" ht="34" customHeight="1">
      <x:c r="A1" s="5" t="str">
        <x:v>MASTER DATA WORKBOOK | E-WASTE GENERATION FORECASTING — INDIA</x:v>
      </x:c>
      <x:c r="B1" s="5"/>
      <x:c r="C1" s="5"/>
      <x:c r="D1" s="5"/>
      <x:c r="E1" s="5"/>
      <x:c r="F1" s="5"/>
      <x:c r="G1" s="5"/>
      <x:c r="H1" s="5"/>
    </x:row>
    <x:row r="2" ht="25" customHeight="1">
      <x:c r="A2" s="12" t="str">
        <x:v>Project: Comparative Analysis of Predictive Models for E-Waste Generation Forecasting in India</x:v>
      </x:c>
      <x:c r="B2" s="12"/>
      <x:c r="C2" s="12"/>
      <x:c r="D2" s="12"/>
      <x:c r="E2" s="12"/>
      <x:c r="F2" s="12"/>
      <x:c r="G2" s="12"/>
      <x:c r="H2" s="12"/>
    </x:row>
    <x:row r="4">
      <x:c r="A4" s="18" t="str">
        <x:v>HOW TO USE THIS WORKBOOK</x:v>
      </x:c>
      <x:c r="B4" s="18"/>
      <x:c r="C4" s="18"/>
      <x:c r="D4" s="18"/>
      <x:c r="E4" s="18"/>
      <x:c r="F4" s="18"/>
      <x:c r="G4" s="18"/>
      <x:c r="H4" s="18"/>
    </x:row>
    <x:row r="5" ht="38" customHeight="1">
      <x:c r="A5" s="25" t="str">
        <x:v>1</x:v>
      </x:c>
      <x:c r="B5" s="30" t="str">
        <x:v>Start in “Master Data”. It contains official CPCB/PIB national generation observations located in the cited releases, plus a clearly marked FY 2022–23 data gap.</x:v>
      </x:c>
    </x:row>
    <x:row r="6" ht="38" customHeight="1">
      <x:c r="A6" s="25" t="str">
        <x:v>2</x:v>
      </x:c>
      <x:c r="B6" s="30" t="str">
        <x:v>Use “Source Register” to open source URLs and see what each source actually supports.</x:v>
      </x:c>
    </x:row>
    <x:row r="7" ht="38" customHeight="1">
      <x:c r="A7" s="25" t="str">
        <x:v>3</x:v>
      </x:c>
      <x:c r="B7" s="30" t="str">
        <x:v>Use “External Benchmarks” only for cross-checking definitions and magnitude. Do not append these rows to the CPCB series without a documented methodology reconciliation.</x:v>
      </x:c>
    </x:row>
    <x:row r="8" ht="38" customHeight="1">
      <x:c r="A8" s="25" t="str">
        <x:v>4</x:v>
      </x:c>
      <x:c r="B8" s="30" t="str">
        <x:v>Review “Data Quality” before modelling. Confirm definitions, financial vs calendar year, reporting framework, missing years and comparability.</x:v>
      </x:c>
    </x:row>
    <x:row r="9" ht="38" customHeight="1">
      <x:c r="A9" s="25" t="str">
        <x:v>5</x:v>
      </x:c>
      <x:c r="B9" s="30" t="str">
        <x:v>Value (kt) in Master Data is calculated by formula from Value (tonnes). 1 kt = 1,000 tonnes.</x:v>
      </x:c>
    </x:row>
    <x:row r="11">
      <x:c r="A11" s="33" t="str">
        <x:v>IMPORTANT DATA WARNING</x:v>
      </x:c>
      <x:c r="B11" s="33"/>
      <x:c r="C11" s="33"/>
      <x:c r="D11" s="33"/>
      <x:c r="E11" s="33"/>
      <x:c r="F11" s="33"/>
      <x:c r="G11" s="33"/>
      <x:c r="H11" s="33"/>
    </x:row>
    <x:row r="12" ht="42" customHeight="1">
      <x:c r="A12" s="39" t="str">
        <x:v>The historical CPCB figures (FY 2017–18 to FY 2021–22) were reported under the E-Waste (Management) Rules, 2016 for 21 notified EEE types. The latest CPCB figures (FY 2023–24 and FY 2024–25) use the 2022 Rules framework. Do not treat the older and newer figures as one continuous, comparable training series until the methodology difference is investigated. The available observations are also too few for a confident comparison of complex ML models.</x:v>
      </x:c>
      <x:c r="B12" s="39"/>
      <x:c r="C12" s="39"/>
      <x:c r="D12" s="39"/>
      <x:c r="E12" s="39"/>
      <x:c r="F12" s="39"/>
      <x:c r="G12" s="39"/>
      <x:c r="H12" s="39"/>
    </x:row>
    <x:row r="13" ht="42" customHeight="1">
      <x:c r="A13" s="39"/>
      <x:c r="B13" s="39"/>
      <x:c r="C13" s="39"/>
      <x:c r="D13" s="39"/>
      <x:c r="E13" s="39"/>
      <x:c r="F13" s="39"/>
      <x:c r="G13" s="39"/>
      <x:c r="H13" s="39"/>
    </x:row>
    <x:row r="15">
      <x:c r="A15" s="17" t="str">
        <x:v>Workbook contents</x:v>
      </x:c>
      <x:c r="B15" s="17"/>
      <x:c r="C15" s="17"/>
      <x:c r="D15" s="17"/>
      <x:c r="E15" s="17"/>
      <x:c r="F15" s="17"/>
      <x:c r="G15" s="17"/>
      <x:c r="H15" s="17"/>
    </x:row>
    <x:row r="16" ht="30" customHeight="1">
      <x:c r="A16" s="11" t="str">
        <x:v>Sheet</x:v>
      </x:c>
      <x:c r="B16" s="11" t="str">
        <x:v>Purpose</x:v>
      </x:c>
    </x:row>
    <x:row r="17" ht="30" customHeight="1">
      <x:c r="A17" s="44" t="str">
        <x:v>Master Data</x:v>
      </x:c>
      <x:c r="B17" s="30" t="str">
        <x:v>National e-waste generation data, source URLs, reporting framework, comparability labels and model-use guidance.</x:v>
      </x:c>
    </x:row>
    <x:row r="18" ht="30" customHeight="1">
      <x:c r="A18" s="44" t="str">
        <x:v>Source Register</x:v>
      </x:c>
      <x:c r="B18" s="30" t="str">
        <x:v>Direct links and explanations of what each publication provides.</x:v>
      </x:c>
    </x:row>
    <x:row r="19" ht="30" customHeight="1">
      <x:c r="A19" s="44" t="str">
        <x:v>Data Quality</x:v>
      </x:c>
      <x:c r="B19" s="30" t="str">
        <x:v>Checklist of validation steps to complete before training models.</x:v>
      </x:c>
    </x:row>
    <x:row r="20" ht="30" customHeight="1">
      <x:c r="A20" s="44" t="str">
        <x:v>External Benchmarks</x:v>
      </x:c>
      <x:c r="B20" s="30" t="str">
        <x:v>Separately logged estimates/projections from other sources for cross-checking only.</x:v>
      </x:c>
    </x:row>
  </x:sheetData>
  <x:mergeCells>
    <x:mergeCell ref="A1:H1"/>
    <x:mergeCell ref="A2:H2"/>
    <x:mergeCell ref="A4:H4"/>
    <x:mergeCell ref="A11:H11"/>
    <x:mergeCell ref="A12:H13"/>
    <x:mergeCell ref="A15:H15"/>
  </x:mergeCells>
  <x:pageMargins left="0.7" right="0.7" top="0.75" bottom="0.75" header="0.3" footer="0.3"/>
</x:worksheet>
</file>

<file path=xl/worksheets/sheet2.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2" hidden="0" customWidth="1"/>
    <x:col min="2" max="2" width="14" hidden="0" customWidth="1"/>
    <x:col min="3" max="3" width="14" hidden="0" customWidth="1"/>
    <x:col min="4" max="4" width="19" hidden="0" customWidth="1"/>
    <x:col min="5" max="5" width="19" hidden="0" customWidth="1"/>
    <x:col min="6" max="6" width="16" hidden="0" customWidth="1"/>
    <x:col min="7" max="7" width="16" hidden="0" customWidth="1"/>
    <x:col min="8" max="8" width="19" hidden="0" customWidth="1"/>
    <x:col min="9" max="9" width="31" hidden="0" customWidth="1"/>
    <x:col min="10" max="10" width="31" hidden="0" customWidth="1"/>
    <x:col min="11" max="11" width="31" hidden="0" customWidth="1"/>
    <x:col min="12" max="12" width="11" hidden="0" customWidth="1"/>
    <x:col min="13" max="13" width="45" hidden="0" customWidth="1"/>
    <x:col min="14" max="14" width="15" hidden="0" customWidth="1"/>
    <x:col min="15" max="15" width="38" hidden="0" customWidth="1"/>
    <x:col min="16" max="16" width="53" hidden="0" customWidth="1"/>
  </x:cols>
  <x:sheetData>
    <x:row r="1" ht="32" customHeight="1">
      <x:c r="A1" s="47" t="str">
        <x:v>MASTER DATA | OFFICIAL NATIONAL E-WASTE GENERATION</x:v>
      </x:c>
      <x:c r="B1" s="47"/>
      <x:c r="C1" s="47"/>
      <x:c r="D1" s="47"/>
      <x:c r="E1" s="47"/>
      <x:c r="F1" s="47"/>
      <x:c r="G1" s="47"/>
      <x:c r="H1" s="47"/>
      <x:c r="I1" s="47"/>
      <x:c r="J1" s="47"/>
      <x:c r="K1" s="47"/>
      <x:c r="L1" s="47"/>
      <x:c r="M1" s="47"/>
      <x:c r="N1" s="47"/>
      <x:c r="O1" s="47"/>
      <x:c r="P1" s="47"/>
    </x:row>
    <x:row r="2" ht="28" customHeight="1">
      <x:c r="A2" s="51" t="str">
        <x:v>Values transcribed from official PIB releases. Check the Source URL and methodology before using observations in one forecasting series.</x:v>
      </x:c>
      <x:c r="B2" s="51"/>
      <x:c r="C2" s="51"/>
      <x:c r="D2" s="51"/>
      <x:c r="E2" s="51"/>
      <x:c r="F2" s="51"/>
      <x:c r="G2" s="51"/>
      <x:c r="H2" s="51"/>
      <x:c r="I2" s="51"/>
      <x:c r="J2" s="51"/>
      <x:c r="K2" s="51"/>
      <x:c r="L2" s="51"/>
      <x:c r="M2" s="51"/>
      <x:c r="N2" s="51"/>
      <x:c r="O2" s="51"/>
      <x:c r="P2" s="51"/>
    </x:row>
    <x:row r="4" ht="42" customHeight="1">
      <x:c r="A4" s="56" t="str">
        <x:v>Record ID</x:v>
      </x:c>
      <x:c r="B4" s="56" t="str">
        <x:v>Financial Year</x:v>
      </x:c>
      <x:c r="C4" s="56" t="str">
        <x:v>Period Basis</x:v>
      </x:c>
      <x:c r="D4" s="56" t="str">
        <x:v>Geography</x:v>
      </x:c>
      <x:c r="E4" s="56" t="str">
        <x:v>Metric</x:v>
      </x:c>
      <x:c r="F4" s="56" t="str">
        <x:v>Value (tonnes)</x:v>
      </x:c>
      <x:c r="G4" s="56" t="str">
        <x:v>Value (kt)</x:v>
      </x:c>
      <x:c r="H4" s="56" t="str">
        <x:v>Data Status</x:v>
      </x:c>
      <x:c r="I4" s="56" t="str">
        <x:v>Data Type</x:v>
      </x:c>
      <x:c r="J4" s="56" t="str">
        <x:v>Reporting Framework</x:v>
      </x:c>
      <x:c r="K4" s="56" t="str">
        <x:v>Comparability Group</x:v>
      </x:c>
      <x:c r="L4" s="56" t="str">
        <x:v>Source ID</x:v>
      </x:c>
      <x:c r="M4" s="56" t="str">
        <x:v>Source URL</x:v>
      </x:c>
      <x:c r="N4" s="56" t="str">
        <x:v>Publication Date</x:v>
      </x:c>
      <x:c r="O4" s="56" t="str">
        <x:v>Model-Use Guidance</x:v>
      </x:c>
      <x:c r="P4" s="56" t="str">
        <x:v>Notes / Next Action</x:v>
      </x:c>
    </x:row>
    <x:row r="5" ht="52" customHeight="1">
      <x:c r="A5" s="64" t="str">
        <x:v>IN001</x:v>
      </x:c>
      <x:c r="B5" s="64" t="str">
        <x:v>2017-18</x:v>
      </x:c>
      <x:c r="C5" s="64" t="str">
        <x:v>Financial year</x:v>
      </x:c>
      <x:c r="D5" s="64" t="str">
        <x:v>India</x:v>
      </x:c>
      <x:c r="E5" s="64" t="str">
        <x:v>E-waste generated</x:v>
      </x:c>
      <x:c r="F5" s="65" t="n">
        <x:v>708445</x:v>
      </x:c>
      <x:c r="G5" s="65" t="n">
        <x:f>F5/1000</x:f>
        <x:v>708.445</x:v>
      </x:c>
      <x:c r="H5" s="64" t="str">
        <x:v>Official figure</x:v>
      </x:c>
      <x:c r="I5" s="64" t="str">
        <x:v>CPCB estimate (producer sales + average useful life)</x:v>
      </x:c>
      <x:c r="J5" s="64" t="str">
        <x:v>E-Waste (Management) Rules, 2016; 21 notified EEE types</x:v>
      </x:c>
      <x:c r="K5" s="64" t="str">
        <x:v>CPCB / 2016 Rules series</x:v>
      </x:c>
      <x:c r="L5" s="64" t="str">
        <x:v>S01</x:v>
      </x:c>
      <x:c r="M5" s="64" t="str">
        <x:v>https://www.pib.gov.in/PressReleasePage.aspx?PRID=1943201&amp;lang=2&amp;reg=48</x:v>
      </x:c>
      <x:c r="N5" s="66" t="str">
        <x:v>2023-07-27</x:v>
      </x:c>
      <x:c r="O5" s="64" t="str">
        <x:v>Historical segment only; very small sample</x:v>
      </x:c>
      <x:c r="P5" s="64" t="str">
        <x:v>Official PIB release reports 708,445 tonnes.</x:v>
      </x:c>
    </x:row>
    <x:row r="6" ht="52" customHeight="1">
      <x:c r="A6" s="64" t="str">
        <x:v>IN002</x:v>
      </x:c>
      <x:c r="B6" s="64" t="str">
        <x:v>2018-19</x:v>
      </x:c>
      <x:c r="C6" s="64" t="str">
        <x:v>Financial year</x:v>
      </x:c>
      <x:c r="D6" s="64" t="str">
        <x:v>India</x:v>
      </x:c>
      <x:c r="E6" s="64" t="str">
        <x:v>E-waste generated</x:v>
      </x:c>
      <x:c r="F6" s="65" t="n">
        <x:v>771215</x:v>
      </x:c>
      <x:c r="G6" s="65" t="n">
        <x:f>F6/1000</x:f>
        <x:v>771.215</x:v>
      </x:c>
      <x:c r="H6" s="64" t="str">
        <x:v>Official figure</x:v>
      </x:c>
      <x:c r="I6" s="64" t="str">
        <x:v>CPCB estimate (producer sales + average useful life)</x:v>
      </x:c>
      <x:c r="J6" s="64" t="str">
        <x:v>E-Waste (Management) Rules, 2016; 21 notified EEE types</x:v>
      </x:c>
      <x:c r="K6" s="64" t="str">
        <x:v>CPCB / 2016 Rules series</x:v>
      </x:c>
      <x:c r="L6" s="64" t="str">
        <x:v>S01</x:v>
      </x:c>
      <x:c r="M6" s="64" t="str">
        <x:v>https://www.pib.gov.in/PressReleasePage.aspx?PRID=1943201&amp;lang=2&amp;reg=48</x:v>
      </x:c>
      <x:c r="N6" s="66" t="str">
        <x:v>2023-07-27</x:v>
      </x:c>
      <x:c r="O6" s="64" t="str">
        <x:v>Historical segment only; very small sample</x:v>
      </x:c>
      <x:c r="P6" s="64" t="str">
        <x:v>Official PIB release reports 771,215 tonnes.</x:v>
      </x:c>
    </x:row>
    <x:row r="7" ht="52" customHeight="1">
      <x:c r="A7" s="64" t="str">
        <x:v>IN003</x:v>
      </x:c>
      <x:c r="B7" s="64" t="str">
        <x:v>2019-20</x:v>
      </x:c>
      <x:c r="C7" s="64" t="str">
        <x:v>Financial year</x:v>
      </x:c>
      <x:c r="D7" s="64" t="str">
        <x:v>India</x:v>
      </x:c>
      <x:c r="E7" s="64" t="str">
        <x:v>E-waste generated</x:v>
      </x:c>
      <x:c r="F7" s="65" t="n">
        <x:v>1014961.21</x:v>
      </x:c>
      <x:c r="G7" s="65" t="n">
        <x:f>F7/1000</x:f>
        <x:v>1014.9612099999999</x:v>
      </x:c>
      <x:c r="H7" s="64" t="str">
        <x:v>Official figure</x:v>
      </x:c>
      <x:c r="I7" s="64" t="str">
        <x:v>CPCB estimate (producer sales + average useful life)</x:v>
      </x:c>
      <x:c r="J7" s="64" t="str">
        <x:v>E-Waste (Management) Rules, 2016; 21 notified EEE types</x:v>
      </x:c>
      <x:c r="K7" s="64" t="str">
        <x:v>CPCB / 2016 Rules series</x:v>
      </x:c>
      <x:c r="L7" s="64" t="str">
        <x:v>S01</x:v>
      </x:c>
      <x:c r="M7" s="64" t="str">
        <x:v>https://www.pib.gov.in/PressReleasePage.aspx?PRID=1943201&amp;lang=2&amp;reg=48</x:v>
      </x:c>
      <x:c r="N7" s="66" t="str">
        <x:v>2023-07-27</x:v>
      </x:c>
      <x:c r="O7" s="64" t="str">
        <x:v>Historical segment only; very small sample</x:v>
      </x:c>
      <x:c r="P7" s="64" t="str">
        <x:v>Official PIB release reports 1,014,961.21 tonnes.</x:v>
      </x:c>
    </x:row>
    <x:row r="8" ht="52" customHeight="1">
      <x:c r="A8" s="64" t="str">
        <x:v>IN004</x:v>
      </x:c>
      <x:c r="B8" s="64" t="str">
        <x:v>2020-21</x:v>
      </x:c>
      <x:c r="C8" s="64" t="str">
        <x:v>Financial year</x:v>
      </x:c>
      <x:c r="D8" s="64" t="str">
        <x:v>India</x:v>
      </x:c>
      <x:c r="E8" s="64" t="str">
        <x:v>E-waste generated</x:v>
      </x:c>
      <x:c r="F8" s="65" t="n">
        <x:v>1346496.31</x:v>
      </x:c>
      <x:c r="G8" s="65" t="n">
        <x:f>F8/1000</x:f>
        <x:v>1346.49631</x:v>
      </x:c>
      <x:c r="H8" s="64" t="str">
        <x:v>Official figure</x:v>
      </x:c>
      <x:c r="I8" s="64" t="str">
        <x:v>CPCB estimate (producer sales + average useful life)</x:v>
      </x:c>
      <x:c r="J8" s="64" t="str">
        <x:v>E-Waste (Management) Rules, 2016; 21 notified EEE types</x:v>
      </x:c>
      <x:c r="K8" s="64" t="str">
        <x:v>CPCB / 2016 Rules series</x:v>
      </x:c>
      <x:c r="L8" s="64" t="str">
        <x:v>S01</x:v>
      </x:c>
      <x:c r="M8" s="64" t="str">
        <x:v>https://www.pib.gov.in/PressReleasePage.aspx?PRID=1943201&amp;lang=2&amp;reg=48</x:v>
      </x:c>
      <x:c r="N8" s="66" t="str">
        <x:v>2023-07-27</x:v>
      </x:c>
      <x:c r="O8" s="64" t="str">
        <x:v>Historical segment only; very small sample</x:v>
      </x:c>
      <x:c r="P8" s="64" t="str">
        <x:v>Official PIB release reports 1,346,496.31 tonnes.</x:v>
      </x:c>
    </x:row>
    <x:row r="9" ht="52" customHeight="1">
      <x:c r="A9" s="64" t="str">
        <x:v>IN005</x:v>
      </x:c>
      <x:c r="B9" s="64" t="str">
        <x:v>2021-22</x:v>
      </x:c>
      <x:c r="C9" s="64" t="str">
        <x:v>Financial year</x:v>
      </x:c>
      <x:c r="D9" s="64" t="str">
        <x:v>India</x:v>
      </x:c>
      <x:c r="E9" s="64" t="str">
        <x:v>E-waste generated</x:v>
      </x:c>
      <x:c r="F9" s="65" t="n">
        <x:v>1601155.36</x:v>
      </x:c>
      <x:c r="G9" s="65" t="n">
        <x:f>F9/1000</x:f>
        <x:v>1601.1553600000002</x:v>
      </x:c>
      <x:c r="H9" s="64" t="str">
        <x:v>Official figure</x:v>
      </x:c>
      <x:c r="I9" s="64" t="str">
        <x:v>CPCB estimate (producer sales + average useful life)</x:v>
      </x:c>
      <x:c r="J9" s="64" t="str">
        <x:v>E-Waste (Management) Rules, 2016; 21 notified EEE types</x:v>
      </x:c>
      <x:c r="K9" s="64" t="str">
        <x:v>CPCB / 2016 Rules series</x:v>
      </x:c>
      <x:c r="L9" s="64" t="str">
        <x:v>S01</x:v>
      </x:c>
      <x:c r="M9" s="64" t="str">
        <x:v>https://www.pib.gov.in/PressReleasePage.aspx?PRID=1943201&amp;lang=2&amp;reg=48</x:v>
      </x:c>
      <x:c r="N9" s="66" t="str">
        <x:v>2023-07-27</x:v>
      </x:c>
      <x:c r="O9" s="64" t="str">
        <x:v>Historical segment only; very small sample</x:v>
      </x:c>
      <x:c r="P9" s="64" t="str">
        <x:v>Official PIB release reports 1,601,155.36 tonnes.</x:v>
      </x:c>
    </x:row>
    <x:row r="10" ht="52" customHeight="1">
      <x:c r="A10" s="64" t="str">
        <x:v>IN006</x:v>
      </x:c>
      <x:c r="B10" s="64" t="str">
        <x:v>2022-23</x:v>
      </x:c>
      <x:c r="C10" s="64" t="str">
        <x:v>Financial year</x:v>
      </x:c>
      <x:c r="D10" s="64" t="str">
        <x:v>India</x:v>
      </x:c>
      <x:c r="E10" s="64" t="str">
        <x:v>E-waste generated</x:v>
      </x:c>
      <x:c r="F10" s="65"/>
      <x:c r="G10" s="65"/>
      <x:c r="H10" s="64" t="str">
        <x:v>Needs verification</x:v>
      </x:c>
      <x:c r="I10" s="64" t="str">
        <x:v>Not yet confirmed from cited official releases</x:v>
      </x:c>
      <x:c r="J10" s="64" t="str">
        <x:v>Not assigned</x:v>
      </x:c>
      <x:c r="K10" s="64" t="str">
        <x:v>Unverified gap</x:v>
      </x:c>
      <x:c r="L10" s="64" t="str">
        <x:v>—</x:v>
      </x:c>
      <x:c r="M10" s="64" t="str"/>
      <x:c r="N10" s="66" t="str"/>
      <x:c r="O10" s="64" t="str">
        <x:v>Do not impute or train on this row</x:v>
      </x:c>
      <x:c r="P10" s="64" t="str">
        <x:v>FY 2022-23 value not populated in this workbook. Search official publications and verify comparability before filling.</x:v>
      </x:c>
    </x:row>
    <x:row r="11" ht="52" customHeight="1">
      <x:c r="A11" s="64" t="str">
        <x:v>IN007</x:v>
      </x:c>
      <x:c r="B11" s="64" t="str">
        <x:v>2023-24</x:v>
      </x:c>
      <x:c r="C11" s="64" t="str">
        <x:v>Financial year</x:v>
      </x:c>
      <x:c r="D11" s="64" t="str">
        <x:v>India</x:v>
      </x:c>
      <x:c r="E11" s="64" t="str">
        <x:v>E-waste generated</x:v>
      </x:c>
      <x:c r="F11" s="65" t="n">
        <x:v>1254286.55</x:v>
      </x:c>
      <x:c r="G11" s="65" t="n">
        <x:f>F11/1000</x:f>
        <x:v>1254.28655</x:v>
      </x:c>
      <x:c r="H11" s="64" t="str">
        <x:v>Official figure</x:v>
      </x:c>
      <x:c r="I11" s="64" t="str">
        <x:v>CPCB estimate (registered-producer sales + average useful life)</x:v>
      </x:c>
      <x:c r="J11" s="64" t="str">
        <x:v>E-Waste (Management) Rules, 2022</x:v>
      </x:c>
      <x:c r="K11" s="64" t="str">
        <x:v>CPCB / 2022 Rules series</x:v>
      </x:c>
      <x:c r="L11" s="64" t="str">
        <x:v>S02</x:v>
      </x:c>
      <x:c r="M11" s="64" t="str">
        <x:v>https://www.pib.gov.in/PressReleasePage.aspx?PRID=2147876&amp;lang=2&amp;reg=48</x:v>
      </x:c>
      <x:c r="N11" s="66" t="str">
        <x:v>2025-07-24</x:v>
      </x:c>
      <x:c r="O11" s="64" t="str">
        <x:v>Separate segment; do not automatically merge with 2016 Rules series</x:v>
      </x:c>
      <x:c r="P11" s="64" t="str">
        <x:v>Official PIB release reports 1,254,286.55 MT; newer Rules framework.</x:v>
      </x:c>
    </x:row>
    <x:row r="12" ht="52" customHeight="1">
      <x:c r="A12" s="64" t="str">
        <x:v>IN008</x:v>
      </x:c>
      <x:c r="B12" s="64" t="str">
        <x:v>2024-25</x:v>
      </x:c>
      <x:c r="C12" s="64" t="str">
        <x:v>Financial year</x:v>
      </x:c>
      <x:c r="D12" s="64" t="str">
        <x:v>India</x:v>
      </x:c>
      <x:c r="E12" s="64" t="str">
        <x:v>E-waste generated</x:v>
      </x:c>
      <x:c r="F12" s="65" t="n">
        <x:v>1397955.59</x:v>
      </x:c>
      <x:c r="G12" s="65" t="n">
        <x:f>F12/1000</x:f>
        <x:v>1397.95559</x:v>
      </x:c>
      <x:c r="H12" s="64" t="str">
        <x:v>Official figure</x:v>
      </x:c>
      <x:c r="I12" s="64" t="str">
        <x:v>CPCB estimate (registered-producer sales + average useful life)</x:v>
      </x:c>
      <x:c r="J12" s="64" t="str">
        <x:v>E-Waste (Management) Rules, 2022</x:v>
      </x:c>
      <x:c r="K12" s="64" t="str">
        <x:v>CPCB / 2022 Rules series</x:v>
      </x:c>
      <x:c r="L12" s="64" t="str">
        <x:v>S02</x:v>
      </x:c>
      <x:c r="M12" s="64" t="str">
        <x:v>https://www.pib.gov.in/PressReleasePage.aspx?PRID=2147876&amp;lang=2&amp;reg=48</x:v>
      </x:c>
      <x:c r="N12" s="66" t="str">
        <x:v>2025-07-24</x:v>
      </x:c>
      <x:c r="O12" s="64" t="str">
        <x:v>Separate segment; only two observations currently in this listed segment</x:v>
      </x:c>
      <x:c r="P12" s="64" t="str">
        <x:v>Official PIB release reports 1,397,955.59 MT; newer Rules framework.</x:v>
      </x:c>
    </x:row>
    <x:row r="13" ht="52" customHeight="1">
      <x:c r="A13" s="64" t="str">
        <x:v>IN009</x:v>
      </x:c>
      <x:c r="B13" s="64" t="str"/>
      <x:c r="C13" s="64" t="str">
        <x:v>Financial year</x:v>
      </x:c>
      <x:c r="D13" s="64" t="str">
        <x:v>India</x:v>
      </x:c>
      <x:c r="E13" s="64" t="str">
        <x:v>E-waste generated</x:v>
      </x:c>
      <x:c r="F13" s="65"/>
      <x:c r="G13" s="65"/>
      <x:c r="H13" s="64" t="str">
        <x:v>To be added</x:v>
      </x:c>
      <x:c r="I13" s="64" t="str">
        <x:v>Requires source verification</x:v>
      </x:c>
      <x:c r="J13" s="64" t="str">
        <x:v>Requires source verification</x:v>
      </x:c>
      <x:c r="K13" s="64" t="str">
        <x:v>Unclassified</x:v>
      </x:c>
      <x:c r="L13" s="64" t="str"/>
      <x:c r="M13" s="64" t="str"/>
      <x:c r="N13" s="66" t="str"/>
      <x:c r="O13" s="64" t="str">
        <x:v>Do not use until sourced</x:v>
      </x:c>
      <x:c r="P13" s="64" t="str">
        <x:v>Spare row for the next verified official observation.</x:v>
      </x:c>
    </x:row>
  </x:sheetData>
  <x:mergeCells>
    <x:mergeCell ref="A1:P1"/>
    <x:mergeCell ref="A2:P2"/>
  </x:mergeCells>
  <x:conditionalFormatting sqref="H5:H13">
    <x:cfRule type="expression" dxfId="0" priority="1">
      <x:formula>H5="Needs verification"</x:formula>
    </x:cfRule>
  </x:conditionalFormatting>
  <x:conditionalFormatting sqref="O5:O13">
    <x:cfRule type="expression" dxfId="1" priority="2">
      <x:formula>O5="Do not impute or train on this row"</x:formula>
    </x:cfRule>
  </x:conditionalFormatting>
  <x:pageMargins left="0.7" right="0.7" top="0.75" bottom="0.75" header="0.3" footer="0.3"/>
  <x:tableParts count="1">
    <x:tablePart xmlns:r="http://schemas.openxmlformats.org/officeDocument/2006/relationships" r:id="R31c6514c895844d4"/>
  </x:tableParts>
</x:worksheet>
</file>

<file path=xl/worksheets/sheet3.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11" hidden="0" customWidth="1"/>
    <x:col min="2" max="2" width="40" hidden="0" customWidth="1"/>
    <x:col min="3" max="3" width="25" hidden="0" customWidth="1"/>
    <x:col min="4" max="4" width="52" hidden="0" customWidth="1"/>
    <x:col min="5" max="5" width="42" hidden="0" customWidth="1"/>
    <x:col min="6" max="6" width="52" hidden="0" customWidth="1"/>
    <x:col min="7" max="7" width="56" hidden="0" customWidth="1"/>
  </x:cols>
  <x:sheetData>
    <x:row r="1" ht="32" customHeight="1">
      <x:c r="A1" s="47" t="str">
        <x:v>SOURCE REGISTER | URLs, COVERAGE &amp; LIMITATIONS</x:v>
      </x:c>
      <x:c r="B1" s="47"/>
      <x:c r="C1" s="47"/>
      <x:c r="D1" s="47"/>
      <x:c r="E1" s="47"/>
      <x:c r="F1" s="47"/>
      <x:c r="G1" s="47"/>
    </x:row>
    <x:row r="3" ht="38" customHeight="1">
      <x:c r="A3" s="56" t="str">
        <x:v>Source ID</x:v>
      </x:c>
      <x:c r="B3" s="56" t="str">
        <x:v>Source / Publication</x:v>
      </x:c>
      <x:c r="C3" s="56" t="str">
        <x:v>Source type</x:v>
      </x:c>
      <x:c r="D3" s="56" t="str">
        <x:v>What it provides</x:v>
      </x:c>
      <x:c r="E3" s="56" t="str">
        <x:v>How to use</x:v>
      </x:c>
      <x:c r="F3" s="56" t="str">
        <x:v>Limitation / validation required</x:v>
      </x:c>
      <x:c r="G3" s="56" t="str">
        <x:v>Direct URL</x:v>
      </x:c>
    </x:row>
    <x:row r="4" ht="72" customHeight="1">
      <x:c r="A4" s="64" t="str">
        <x:v>S01</x:v>
      </x:c>
      <x:c r="B4" s="64" t="str">
        <x:v>PIB / MoEFCC — Generation of E-waste (27 Jul 2023)</x:v>
      </x:c>
      <x:c r="C4" s="64" t="str">
        <x:v>Official government release</x:v>
      </x:c>
      <x:c r="D4" s="64" t="str">
        <x:v>Annual national generation FY 2017-18 to FY 2021-22 for 21 EEE types under 2016 Rules.</x:v>
      </x:c>
      <x:c r="E4" s="64" t="str">
        <x:v>Primary source for old-framework historical segment.</x:v>
      </x:c>
      <x:c r="F4" s="64" t="str">
        <x:v>Only five annual observations; framework and scope differ from the post-April-2023 system.</x:v>
      </x:c>
      <x:c r="G4" s="64" t="str">
        <x:v>https://www.pib.gov.in/PressReleasePage.aspx?PRID=1943201&amp;lang=2&amp;reg=48</x:v>
      </x:c>
    </x:row>
    <x:row r="5" ht="72" customHeight="1">
      <x:c r="A5" s="64" t="str">
        <x:v>S02</x:v>
      </x:c>
      <x:c r="B5" s="64" t="str">
        <x:v>PIB / MoEFCC — E-waste processing management (24 Jul 2025)</x:v>
      </x:c>
      <x:c r="C5" s="64" t="str">
        <x:v>Official government release</x:v>
      </x:c>
      <x:c r="D5" s="64" t="str">
        <x:v>National generation FY 2023-24 and FY 2024-25; includes collection/dismantling/recycling percentages and state-level processing data.</x:v>
      </x:c>
      <x:c r="E5" s="64" t="str">
        <x:v>Primary source for latest two figures in Master Data.</x:v>
      </x:c>
      <x:c r="F5" s="64" t="str">
        <x:v>Uses 2022 Rules and registered-producer data; don't silently join to S01.</x:v>
      </x:c>
      <x:c r="G5" s="64" t="str">
        <x:v>https://www.pib.gov.in/PressReleasePage.aspx?PRID=2147876&amp;lang=2&amp;reg=48</x:v>
      </x:c>
    </x:row>
    <x:row r="6" ht="72" customHeight="1">
      <x:c r="A6" s="64" t="str">
        <x:v>S03</x:v>
      </x:c>
      <x:c r="B6" s="64" t="str">
        <x:v>Nandi &amp; Dhar — State-Wise and National E-Waste Generation and Collection Data: India, 2016-2023 (Zenodo, 2025)</x:v>
      </x:c>
      <x:c r="C6" s="64" t="str">
        <x:v>Secondary/compiled research dataset</x:v>
      </x:c>
      <x:c r="D6" s="64" t="str">
        <x:v>Excel workbook described as derived from public MoEFCC records and cited parliamentary/oversight records.</x:v>
      </x:c>
      <x:c r="E6" s="64" t="str">
        <x:v>Inspect the downloaded workbook and its definitions; cross-check underlying values against primary sources.</x:v>
      </x:c>
      <x:c r="F6" s="64" t="str">
        <x:v>Compiled dataset; verify every field, period, unit and source. It may mix generation with collection.</x:v>
      </x:c>
      <x:c r="G6" s="64" t="str">
        <x:v>https://zenodo.org/records/15506723</x:v>
      </x:c>
    </x:row>
    <x:row r="7" ht="72" customHeight="1">
      <x:c r="A7" s="64" t="str">
        <x:v>S04</x:v>
      </x:c>
      <x:c r="B7" s="64" t="str">
        <x:v>Global E-waste Statistics Partnership / Global E-waste Monitor — India 2022</x:v>
      </x:c>
      <x:c r="C7" s="64" t="str">
        <x:v>International benchmark</x:v>
      </x:c>
      <x:c r="D7" s="64" t="str">
        <x:v>Calendar-year 2022 estimate: 4,137 kt generated; category breakdown and per-capita figures.</x:v>
      </x:c>
      <x:c r="E7" s="64" t="str">
        <x:v>Use as external cross-check and methodology reference, not as an extra CPCB FY observation.</x:v>
      </x:c>
      <x:c r="F7" s="64" t="str">
        <x:v>Calendar year and international definition differ from CPCB FY series; major magnitude differences require methodological explanation.</x:v>
      </x:c>
      <x:c r="G7" s="64" t="str">
        <x:v>https://globalewaste.org/statistics/country/india/2022/</x:v>
      </x:c>
    </x:row>
    <x:row r="8" ht="72" customHeight="1">
      <x:c r="A8" s="64" t="str">
        <x:v>S05</x:v>
      </x:c>
      <x:c r="B8" s="64" t="str">
        <x:v>Global E-waste Monitor 2024 — main report page</x:v>
      </x:c>
      <x:c r="C8" s="64" t="str">
        <x:v>International report</x:v>
      </x:c>
      <x:c r="D8" s="64" t="str">
        <x:v>Global estimates, definitions and methodology; report describes 2022 global generation and formal collection/recycling.</x:v>
      </x:c>
      <x:c r="E8" s="64" t="str">
        <x:v>Use to understand methods and definitions; locate any downloadable country tables.</x:v>
      </x:c>
      <x:c r="F8" s="64" t="str">
        <x:v>Global estimates are not automatically comparable to national regulatory estimates.</x:v>
      </x:c>
      <x:c r="G8" s="64" t="str">
        <x:v>https://ewastemonitor.info/the-global-e-waste-monitor-2024/</x:v>
      </x:c>
    </x:row>
    <x:row r="9" ht="72" customHeight="1">
      <x:c r="A9" s="64" t="str">
        <x:v>S06</x:v>
      </x:c>
      <x:c r="B9" s="64" t="str">
        <x:v>NITI Aayog — report page (2026)</x:v>
      </x:c>
      <x:c r="C9" s="64" t="str">
        <x:v>Policy/research report</x:v>
      </x:c>
      <x:c r="D9" s="64" t="str">
        <x:v>Reports India e-waste estimates/projections citing Global E-waste Monitor, including a 2030 projection.</x:v>
      </x:c>
      <x:c r="E9" s="64" t="str">
        <x:v>Use for context and external forecast benchmarking only.</x:v>
      </x:c>
      <x:c r="F9" s="64" t="str">
        <x:v>Values are estimates/projections, not observed yearly CPCB training data; verify original cited methodology.</x:v>
      </x:c>
      <x:c r="G9" s="64" t="str">
        <x:v>https://www.niti.gov.in/node/2108</x:v>
      </x:c>
    </x:row>
    <x:row r="10" ht="72" customHeight="1">
      <x:c r="A10" s="64" t="str">
        <x:v>S07</x:v>
      </x:c>
      <x:c r="B10" s="64" t="str">
        <x:v>Open Government Data India — national generation resource (FY 2019-20 to FY 2023-24)</x:v>
      </x:c>
      <x:c r="C10" s="64" t="str">
        <x:v>Government open-data catalogue</x:v>
      </x:c>
      <x:c r="D10" s="64" t="str">
        <x:v>Catalogue metadata indicates financial-year generation data and metric-tonne units.</x:v>
      </x:c>
      <x:c r="E10" s="64" t="str">
        <x:v>Try download/preview and compare data with cited Parliamentary/PIB releases.</x:v>
      </x:c>
      <x:c r="F10" s="64" t="str">
        <x:v>Access/preview did not reliably surface rows during verification; confirm actual file contents before relying on it.</x:v>
      </x:c>
      <x:c r="G10" s="64" t="str">
        <x:v>https://www.data.gov.in/resource/year-wise-details-quantity-e-waste-generation-national-level-cpcb-e-waste-management-rules</x:v>
      </x:c>
    </x:row>
    <x:row r="11" ht="72" customHeight="1">
      <x:c r="A11" s="64" t="str">
        <x:v>S08</x:v>
      </x:c>
      <x:c r="B11" s="64" t="str">
        <x:v>Lok Sabha Unstarred Question No. 2458 (13 Dec 2021)</x:v>
      </x:c>
      <x:c r="C11" s="64" t="str">
        <x:v>Official parliamentary source</x:v>
      </x:c>
      <x:c r="D11" s="64" t="str">
        <x:v>Underlying public-record source cited by the Zenodo compilation.</x:v>
      </x:c>
      <x:c r="E11" s="64" t="str">
        <x:v>Use to cross-check the historical/statewise dataset if relevant.</x:v>
      </x:c>
      <x:c r="F11" s="64" t="str">
        <x:v>Older period only; inspect the annex and the exact definitions before combining series.</x:v>
      </x:c>
      <x:c r="G11" s="64" t="str">
        <x:v>https://sansad.in/getFile/loksabhaquestions/annex/177/AU2458.pdf?source=pqals</x:v>
      </x:c>
    </x:row>
  </x:sheetData>
  <x:mergeCells>
    <x:mergeCell ref="A1:G1"/>
  </x:mergeCells>
  <x:pageMargins left="0.7" right="0.7" top="0.75" bottom="0.75" header="0.3" footer="0.3"/>
  <x:tableParts count="1">
    <x:tablePart xmlns:r="http://schemas.openxmlformats.org/officeDocument/2006/relationships" r:id="R41813d8123ee4837"/>
  </x:tableParts>
</x:worksheet>
</file>

<file path=xl/worksheets/sheet4.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10" hidden="0" customWidth="1"/>
    <x:col min="2" max="2" width="36" hidden="0" customWidth="1"/>
    <x:col min="3" max="3" width="23" hidden="0" customWidth="1"/>
    <x:col min="4" max="4" width="53" hidden="0" customWidth="1"/>
    <x:col min="5" max="5" width="55" hidden="0" customWidth="1"/>
    <x:col min="6" max="6" width="18" hidden="0" customWidth="1"/>
  </x:cols>
  <x:sheetData>
    <x:row r="1" ht="32" customHeight="1">
      <x:c r="A1" s="47" t="str">
        <x:v>DATA-QUALITY CHECKLIST | COMPLETE BEFORE MODELLING</x:v>
      </x:c>
      <x:c r="B1" s="47"/>
      <x:c r="C1" s="47"/>
      <x:c r="D1" s="47"/>
      <x:c r="E1" s="47"/>
      <x:c r="F1" s="47"/>
    </x:row>
    <x:row r="3" ht="36" customHeight="1">
      <x:c r="A3" s="55" t="str">
        <x:v>ID</x:v>
      </x:c>
      <x:c r="B3" s="55" t="str">
        <x:v>Check</x:v>
      </x:c>
      <x:c r="C3" s="55" t="str">
        <x:v>Initial status</x:v>
      </x:c>
      <x:c r="D3" s="55" t="str">
        <x:v>Evidence / notes</x:v>
      </x:c>
      <x:c r="E3" s="55" t="str">
        <x:v>Action required</x:v>
      </x:c>
      <x:c r="F3" s="55" t="str">
        <x:v>Owner / status</x:v>
      </x:c>
    </x:row>
    <x:row r="4" ht="58" customHeight="1">
      <x:c r="A4" s="64" t="str">
        <x:v>DQ01</x:v>
      </x:c>
      <x:c r="B4" s="64" t="str">
        <x:v>Target variable is e-waste generated (not collected/recycled)</x:v>
      </x:c>
      <x:c r="C4" s="64" t="str">
        <x:v>Partially checked</x:v>
      </x:c>
      <x:c r="D4" s="64" t="str">
        <x:v>Master Data contains generation figures only; Zenodo/Open Government data may include collection fields.</x:v>
      </x:c>
      <x:c r="E4" s="64" t="str">
        <x:v>Confirm the dependent variable for every imported column.</x:v>
      </x:c>
      <x:c r="F4" s="64" t="str">
        <x:v>Open</x:v>
      </x:c>
    </x:row>
    <x:row r="5" ht="58" customHeight="1">
      <x:c r="A5" s="64" t="str">
        <x:v>DQ02</x:v>
      </x:c>
      <x:c r="B5" s="64" t="str">
        <x:v>Unit consistency</x:v>
      </x:c>
      <x:c r="C5" s="64" t="str">
        <x:v>Initial figures in tonnes</x:v>
      </x:c>
      <x:c r="D5" s="64" t="str">
        <x:v>Official PIB series uses tonnes/metric tonnes; GEM uses kilotonnes (kt).</x:v>
      </x:c>
      <x:c r="E5" s="64" t="str">
        <x:v>Convert only with documented units; 1 kt = 1,000 tonnes.</x:v>
      </x:c>
      <x:c r="F5" s="64" t="str">
        <x:v>Open</x:v>
      </x:c>
    </x:row>
    <x:row r="6" ht="58" customHeight="1">
      <x:c r="A6" s="64" t="str">
        <x:v>DQ03</x:v>
      </x:c>
      <x:c r="B6" s="64" t="str">
        <x:v>Financial year vs calendar year</x:v>
      </x:c>
      <x:c r="C6" s="64" t="str">
        <x:v>Issue identified</x:v>
      </x:c>
      <x:c r="D6" s="64" t="str">
        <x:v>PIB observations are financial years; Global E-waste Monitor country page is calendar year 2022.</x:v>
      </x:c>
      <x:c r="E6" s="64" t="str">
        <x:v>Keep calendar-year benchmarks separate unless a defensible conversion/source is available.</x:v>
      </x:c>
      <x:c r="F6" s="64" t="str">
        <x:v>Open</x:v>
      </x:c>
    </x:row>
    <x:row r="7" ht="58" customHeight="1">
      <x:c r="A7" s="64" t="str">
        <x:v>DQ04</x:v>
      </x:c>
      <x:c r="B7" s="64" t="str">
        <x:v>Reporting methodology comparability</x:v>
      </x:c>
      <x:c r="C7" s="64" t="str">
        <x:v>Issue identified</x:v>
      </x:c>
      <x:c r="D7" s="64" t="str">
        <x:v>Older figures: 2016 Rules / 21 EEE types. Newer figures: 2022 Rules framework.</x:v>
      </x:c>
      <x:c r="E7" s="64" t="str">
        <x:v>Find official methodology for each period; don't assume a continuous series.</x:v>
      </x:c>
      <x:c r="F7" s="64" t="str">
        <x:v>Open</x:v>
      </x:c>
    </x:row>
    <x:row r="8" ht="58" customHeight="1">
      <x:c r="A8" s="64" t="str">
        <x:v>DQ05</x:v>
      </x:c>
      <x:c r="B8" s="64" t="str">
        <x:v>Missing year FY 2022-23</x:v>
      </x:c>
      <x:c r="C8" s="64" t="str">
        <x:v>Gap identified</x:v>
      </x:c>
      <x:c r="D8" s="64" t="str">
        <x:v>No figure entered from the two cited official releases used in this workbook.</x:v>
      </x:c>
      <x:c r="E8" s="64" t="str">
        <x:v>Search further official sources and document whether a comparable observation exists.</x:v>
      </x:c>
      <x:c r="F8" s="64" t="str">
        <x:v>Open</x:v>
      </x:c>
    </x:row>
    <x:row r="9" ht="58" customHeight="1">
      <x:c r="A9" s="64" t="str">
        <x:v>DQ06</x:v>
      </x:c>
      <x:c r="B9" s="64" t="str">
        <x:v>Enough observations for model comparison</x:v>
      </x:c>
      <x:c r="C9" s="64" t="str">
        <x:v>Not sufficient yet</x:v>
      </x:c>
      <x:c r="D9" s="64" t="str">
        <x:v>Five older annual observations and two newer annual observations are listed separately.</x:v>
      </x:c>
      <x:c r="E9" s="64" t="str">
        <x:v>Inspect whether verified state-year data can provide a defensible modelling dataset.</x:v>
      </x:c>
      <x:c r="F9" s="64" t="str">
        <x:v>Open</x:v>
      </x:c>
    </x:row>
    <x:row r="10" ht="58" customHeight="1">
      <x:c r="A10" s="64" t="str">
        <x:v>DQ07</x:v>
      </x:c>
      <x:c r="B10" s="64" t="str">
        <x:v>Source provenance</x:v>
      </x:c>
      <x:c r="C10" s="64" t="str">
        <x:v>Partially checked</x:v>
      </x:c>
      <x:c r="D10" s="64" t="str">
        <x:v>Direct source URLs are included; Zenodo is secondary/compiled.</x:v>
      </x:c>
      <x:c r="E10" s="64" t="str">
        <x:v>Save original downloaded files and maintain a transformation log.</x:v>
      </x:c>
      <x:c r="F10" s="64" t="str">
        <x:v>Open</x:v>
      </x:c>
    </x:row>
    <x:row r="11" ht="58" customHeight="1">
      <x:c r="A11" s="64" t="str">
        <x:v>DQ08</x:v>
      </x:c>
      <x:c r="B11" s="64" t="str">
        <x:v>Missing/outlier handling</x:v>
      </x:c>
      <x:c r="C11" s="64" t="str">
        <x:v>Not started</x:v>
      </x:c>
      <x:c r="D11" s="64" t="str">
        <x:v>No values have been imputed.</x:v>
      </x:c>
      <x:c r="E11" s="64" t="str">
        <x:v>Investigate missing records and unusual changes; do not fill values arbitrarily.</x:v>
      </x:c>
      <x:c r="F11" s="64" t="str">
        <x:v>Open</x:v>
      </x:c>
    </x:row>
    <x:row r="12" ht="58" customHeight="1">
      <x:c r="A12" s="64" t="str">
        <x:v>DQ09</x:v>
      </x:c>
      <x:c r="B12" s="64" t="str">
        <x:v>Train/test evaluation design</x:v>
      </x:c>
      <x:c r="C12" s="64" t="str">
        <x:v>Not started</x:v>
      </x:c>
      <x:c r="D12" s="64" t="str">
        <x:v>No model-ready dataset approved yet.</x:v>
      </x:c>
      <x:c r="E12" s="64" t="str">
        <x:v>Use chronological holdout/rolling-origin validation; avoid random shuffling of time series.</x:v>
      </x:c>
      <x:c r="F12" s="64" t="str">
        <x:v>Open</x:v>
      </x:c>
    </x:row>
  </x:sheetData>
  <x:mergeCells>
    <x:mergeCell ref="A1:F1"/>
  </x:mergeCells>
  <x:conditionalFormatting sqref="C4:C12">
    <x:cfRule type="expression" dxfId="2" priority="1">
      <x:formula>OR(C4="Issue identified",C4="Gap identified",C4="Not sufficient yet")</x:formula>
    </x:cfRule>
    <x:cfRule type="expression" dxfId="3" priority="2">
      <x:formula>C4="Not started"</x:formula>
    </x:cfRule>
  </x:conditionalFormatting>
  <x:dataValidations count="1">
    <x:dataValidation type="list" sqref="F4:F12">
      <x:formula1>"Open,In progress,Complete,Blocked"</x:formula1>
    </x:dataValidation>
  </x:dataValidations>
  <x:pageMargins left="0.7" right="0.7" top="0.75" bottom="0.75" header="0.3" footer="0.3"/>
  <x:tableParts count="1">
    <x:tablePart xmlns:r="http://schemas.openxmlformats.org/officeDocument/2006/relationships" r:id="R5e24d9eee2cd4186"/>
  </x:tableParts>
</x:worksheet>
</file>

<file path=xl/worksheets/sheet5.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3" hidden="0" customWidth="1"/>
    <x:col min="2" max="2" width="18" hidden="0" customWidth="1"/>
    <x:col min="3" max="3" width="18" hidden="0" customWidth="1"/>
    <x:col min="4" max="4" width="22" hidden="0" customWidth="1"/>
    <x:col min="5" max="5" width="22" hidden="0" customWidth="1"/>
    <x:col min="6" max="6" width="17" hidden="0" customWidth="1"/>
    <x:col min="7" max="7" width="17" hidden="0" customWidth="1"/>
    <x:col min="8" max="8" width="33" hidden="0" customWidth="1"/>
    <x:col min="9" max="9" width="12" hidden="0" customWidth="1"/>
    <x:col min="10" max="10" width="70" hidden="0" customWidth="1"/>
  </x:cols>
  <x:sheetData>
    <x:row r="1" ht="32" customHeight="1">
      <x:c r="A1" s="71" t="str">
        <x:v>EXTERNAL BENCHMARKS | DO NOT MIX INTO CPCB TRAINING SERIES WITHOUT RECONCILIATION</x:v>
      </x:c>
      <x:c r="B1" s="71"/>
      <x:c r="C1" s="71"/>
      <x:c r="D1" s="71"/>
      <x:c r="E1" s="71"/>
      <x:c r="F1" s="71"/>
      <x:c r="G1" s="71"/>
      <x:c r="H1" s="71"/>
      <x:c r="I1" s="71"/>
      <x:c r="J1" s="71"/>
    </x:row>
    <x:row r="2" ht="34" customHeight="1">
      <x:c r="A2" s="75" t="str">
        <x:v>Separate calendar-year international estimates and policy projections are logged here for context/validation only. These are not automatically comparable to the CPCB financial-year series.</x:v>
      </x:c>
      <x:c r="B2" s="75"/>
      <x:c r="C2" s="75"/>
      <x:c r="D2" s="75"/>
      <x:c r="E2" s="75"/>
      <x:c r="F2" s="75"/>
      <x:c r="G2" s="75"/>
      <x:c r="H2" s="75"/>
      <x:c r="I2" s="75"/>
      <x:c r="J2" s="75"/>
    </x:row>
    <x:row r="4" ht="40" customHeight="1">
      <x:c r="A4" s="56" t="str">
        <x:v>Benchmark ID</x:v>
      </x:c>
      <x:c r="B4" s="56" t="str">
        <x:v>Year</x:v>
      </x:c>
      <x:c r="C4" s="56" t="str">
        <x:v>Period Basis</x:v>
      </x:c>
      <x:c r="D4" s="56" t="str">
        <x:v>Geography</x:v>
      </x:c>
      <x:c r="E4" s="56" t="str">
        <x:v>Metric</x:v>
      </x:c>
      <x:c r="F4" s="56" t="str">
        <x:v>Value (tonnes)</x:v>
      </x:c>
      <x:c r="G4" s="56" t="str">
        <x:v>Value (kt)</x:v>
      </x:c>
      <x:c r="H4" s="56" t="str">
        <x:v>Data Type</x:v>
      </x:c>
      <x:c r="I4" s="56" t="str">
        <x:v>Source ID</x:v>
      </x:c>
      <x:c r="J4" s="56" t="str">
        <x:v>Source URL / Notes</x:v>
      </x:c>
    </x:row>
    <x:row r="5" ht="62" customHeight="1">
      <x:c r="A5" s="64" t="str">
        <x:v>B001</x:v>
      </x:c>
      <x:c r="B5" s="64" t="str">
        <x:v>2022</x:v>
      </x:c>
      <x:c r="C5" s="64" t="str">
        <x:v>Calendar year</x:v>
      </x:c>
      <x:c r="D5" s="64" t="str">
        <x:v>India</x:v>
      </x:c>
      <x:c r="E5" s="64" t="str">
        <x:v>E-waste generated</x:v>
      </x:c>
      <x:c r="F5" s="65" t="n">
        <x:v>4137000</x:v>
      </x:c>
      <x:c r="G5" s="65" t="n">
        <x:f>F5/1000</x:f>
        <x:v>4137</x:v>
      </x:c>
      <x:c r="H5" s="64" t="str">
        <x:v>International estimate</x:v>
      </x:c>
      <x:c r="I5" s="64" t="str">
        <x:v>S04</x:v>
      </x:c>
      <x:c r="J5" s="64" t="str">
        <x:v>Global E-waste Statistics Partnership country page reports 4,137 kt. Not directly comparable to CPCB FY estimates. https://globalewaste.org/statistics/country/india/2022/</x:v>
      </x:c>
    </x:row>
    <x:row r="6" ht="62" customHeight="1">
      <x:c r="A6" s="64" t="str">
        <x:v>B002</x:v>
      </x:c>
      <x:c r="B6" s="64" t="str">
        <x:v>2020</x:v>
      </x:c>
      <x:c r="C6" s="64" t="str">
        <x:v>Calendar year (as cited)</x:v>
      </x:c>
      <x:c r="D6" s="64" t="str">
        <x:v>India</x:v>
      </x:c>
      <x:c r="E6" s="64" t="str">
        <x:v>E-waste generated</x:v>
      </x:c>
      <x:c r="F6" s="65" t="n">
        <x:v>2760000</x:v>
      </x:c>
      <x:c r="G6" s="65" t="n">
        <x:f>F6/1000</x:f>
        <x:v>2760</x:v>
      </x:c>
      <x:c r="H6" s="64" t="str">
        <x:v>Secondary estimate cited by NITI Aayog</x:v>
      </x:c>
      <x:c r="I6" s="64" t="str">
        <x:v>S06</x:v>
      </x:c>
      <x:c r="J6" s="64" t="str">
        <x:v>NITI Aayog report cites approx. 2.76 MMT for 2020. Verify source methodology before comparison. https://www.niti.gov.in/node/2108</x:v>
      </x:c>
    </x:row>
    <x:row r="7" ht="62" customHeight="1">
      <x:c r="A7" s="64" t="str">
        <x:v>B003</x:v>
      </x:c>
      <x:c r="B7" s="64" t="str">
        <x:v>2024</x:v>
      </x:c>
      <x:c r="C7" s="64" t="str">
        <x:v>Calendar year (as cited)</x:v>
      </x:c>
      <x:c r="D7" s="64" t="str">
        <x:v>India</x:v>
      </x:c>
      <x:c r="E7" s="64" t="str">
        <x:v>E-waste generated</x:v>
      </x:c>
      <x:c r="F7" s="65" t="n">
        <x:v>6190000</x:v>
      </x:c>
      <x:c r="G7" s="65" t="n">
        <x:f>F7/1000</x:f>
        <x:v>6190</x:v>
      </x:c>
      <x:c r="H7" s="64" t="str">
        <x:v>Secondary estimate cited by NITI Aayog</x:v>
      </x:c>
      <x:c r="I7" s="64" t="str">
        <x:v>S06</x:v>
      </x:c>
      <x:c r="J7" s="64" t="str">
        <x:v>NITI Aayog report cites approx. 6.19 MMT for 2024. Estimate, not an official CPCB financial-year observation. https://www.niti.gov.in/node/2108</x:v>
      </x:c>
    </x:row>
    <x:row r="8" ht="62" customHeight="1">
      <x:c r="A8" s="64" t="str">
        <x:v>B004</x:v>
      </x:c>
      <x:c r="B8" s="64" t="str">
        <x:v>2030</x:v>
      </x:c>
      <x:c r="C8" s="64" t="str">
        <x:v>Calendar year</x:v>
      </x:c>
      <x:c r="D8" s="64" t="str">
        <x:v>India</x:v>
      </x:c>
      <x:c r="E8" s="64" t="str">
        <x:v>E-waste generated</x:v>
      </x:c>
      <x:c r="F8" s="65" t="n">
        <x:v>14000000</x:v>
      </x:c>
      <x:c r="G8" s="65" t="n">
        <x:f>F8/1000</x:f>
        <x:v>14000</x:v>
      </x:c>
      <x:c r="H8" s="64" t="str">
        <x:v>Projection</x:v>
      </x:c>
      <x:c r="I8" s="64" t="str">
        <x:v>S06</x:v>
      </x:c>
      <x:c r="J8" s="64" t="str">
        <x:v>NITI Aayog cites a projection of 14 MMT by 2030. Never treat this projected value as observed historical training data. https://www.niti.gov.in/node/2108</x:v>
      </x:c>
    </x:row>
  </x:sheetData>
  <x:mergeCells>
    <x:mergeCell ref="A1:J1"/>
    <x:mergeCell ref="A2:J2"/>
  </x:mergeCells>
  <x:pageMargins left="0.7" right="0.7" top="0.75" bottom="0.75" header="0.3" footer="0.3"/>
  <x:tableParts count="1">
    <x:tablePart xmlns:r="http://schemas.openxmlformats.org/officeDocument/2006/relationships" r:id="Ref2de1b434564668"/>
  </x:tableParts>
</x:worksheet>
</file>